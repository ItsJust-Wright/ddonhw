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</sheets>
  <definedNames/>
  <calcPr/>
</workbook>
</file>

<file path=xl/sharedStrings.xml><?xml version="1.0" encoding="utf-8"?>
<sst xmlns="http://schemas.openxmlformats.org/spreadsheetml/2006/main" count="90" uniqueCount="74">
  <si>
    <t>Job Information</t>
  </si>
  <si>
    <t>Cost of Goods Sold</t>
  </si>
  <si>
    <t>Graph Go Up</t>
  </si>
  <si>
    <t xml:space="preserve">Material </t>
  </si>
  <si>
    <t>7000 Series Aluminum</t>
  </si>
  <si>
    <t>Estimated Stock Unit Cost</t>
  </si>
  <si>
    <t>Unit Cost</t>
  </si>
  <si>
    <t>Stock Length in inches (X)</t>
  </si>
  <si>
    <t>Estimated Stock Extended Cost</t>
  </si>
  <si>
    <t>Extended Cost</t>
  </si>
  <si>
    <t>Stock Width in inches (Y)</t>
  </si>
  <si>
    <t>Estimated Stock Size</t>
  </si>
  <si>
    <t>Cost Adjusted for Complexity</t>
  </si>
  <si>
    <t>Stock Height in inches (Z)</t>
  </si>
  <si>
    <t>Estimated Shipping Cost of Material</t>
  </si>
  <si>
    <t>Cost-Plus percent</t>
  </si>
  <si>
    <t xml:space="preserve">Quantity </t>
  </si>
  <si>
    <t>Estimated Shipping Cost to Customer</t>
  </si>
  <si>
    <t>Unit Price</t>
  </si>
  <si>
    <t>Estimated Scrap Rate</t>
  </si>
  <si>
    <t xml:space="preserve">Labor </t>
  </si>
  <si>
    <t>Extended Price</t>
  </si>
  <si>
    <t>Estimated Length to Order</t>
  </si>
  <si>
    <t>Quality</t>
  </si>
  <si>
    <t>Target Quantity to machine</t>
  </si>
  <si>
    <t>OSP Cost</t>
  </si>
  <si>
    <t>Expedited Price</t>
  </si>
  <si>
    <t>Estimated Labor in Hours</t>
  </si>
  <si>
    <t>Part Marking</t>
  </si>
  <si>
    <t>Expedited Price Multiple</t>
  </si>
  <si>
    <t>Estimated Number of OPs</t>
  </si>
  <si>
    <t>Bead Blating</t>
  </si>
  <si>
    <t>OSP?</t>
  </si>
  <si>
    <t>N/A</t>
  </si>
  <si>
    <t>Complexity</t>
  </si>
  <si>
    <t>Easy</t>
  </si>
  <si>
    <t>Number of Features to Inspect</t>
  </si>
  <si>
    <t>Custom Quality Gauges?</t>
  </si>
  <si>
    <t>Estimated Fixture Cost</t>
  </si>
  <si>
    <t>Custom Tooling?</t>
  </si>
  <si>
    <t>Hardware?</t>
  </si>
  <si>
    <t>Part Marking?</t>
  </si>
  <si>
    <t>Bead Blasting?</t>
  </si>
  <si>
    <t>Tolerances apply after OSP?</t>
  </si>
  <si>
    <t>Expedited?</t>
  </si>
  <si>
    <t>Calculated volume of stock cubic inches per unit</t>
  </si>
  <si>
    <t>Caluclated weight of stock per unit</t>
  </si>
  <si>
    <t>Shipping weight</t>
  </si>
  <si>
    <t>OSP Pricing</t>
  </si>
  <si>
    <t xml:space="preserve">Material Pricing </t>
  </si>
  <si>
    <t>Shipping Pricing</t>
  </si>
  <si>
    <t xml:space="preserve">Process </t>
  </si>
  <si>
    <t>Cost per part</t>
  </si>
  <si>
    <t xml:space="preserve">Material Type </t>
  </si>
  <si>
    <t>Weight Condition</t>
  </si>
  <si>
    <t>Density lb/in3</t>
  </si>
  <si>
    <t>Price per lb</t>
  </si>
  <si>
    <t>Weight</t>
  </si>
  <si>
    <t>Price</t>
  </si>
  <si>
    <t>Anodizing</t>
  </si>
  <si>
    <t>6000 Series Aluminum</t>
  </si>
  <si>
    <t xml:space="preserve">        &lt;=100</t>
  </si>
  <si>
    <t>Alodine</t>
  </si>
  <si>
    <t>&gt;100</t>
  </si>
  <si>
    <t>Chem-Film per Mil-C-5541</t>
  </si>
  <si>
    <t>&lt;=100</t>
  </si>
  <si>
    <t>Powder Coat</t>
  </si>
  <si>
    <t>Stainless Steel</t>
  </si>
  <si>
    <t>Complexity Pricing Multiple</t>
  </si>
  <si>
    <t>Titanium</t>
  </si>
  <si>
    <t xml:space="preserve">&gt;100        </t>
  </si>
  <si>
    <t>Medium</t>
  </si>
  <si>
    <t>Bronze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</si>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</sst>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#,##0.000"/>
  </numFmts>
  <fonts count="5">
    <font>
      <sz val="10.0"/>
      <color rgb="FF000000"/>
      <name val="Arial"/>
      <scheme val="minor"/>
    </font>
    <font>
      <color theme="1"/>
      <name val="Arial"/>
    </font>
    <font/>
    <font>
      <color rgb="FF0C0D0E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4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3" fillId="0" fontId="2" numFmtId="0" xfId="0" applyBorder="1" applyFont="1"/>
    <xf borderId="0" fillId="0" fontId="1" numFmtId="0" xfId="0" applyAlignment="1" applyFont="1">
      <alignment readingOrder="0" vertical="bottom"/>
    </xf>
    <xf borderId="0" fillId="2" fontId="1" numFmtId="164" xfId="0" applyAlignment="1" applyFill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3" fontId="1" numFmtId="0" xfId="0" applyAlignment="1" applyFill="1" applyFont="1">
      <alignment vertical="bottom"/>
    </xf>
    <xf borderId="0" fillId="2" fontId="1" numFmtId="0" xfId="0" applyAlignment="1" applyFon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1" numFmtId="164" xfId="0" applyAlignment="1" applyFont="1" applyNumberFormat="1">
      <alignment vertical="bottom"/>
    </xf>
    <xf borderId="0" fillId="4" fontId="1" numFmtId="0" xfId="0" applyAlignment="1" applyFill="1" applyFont="1">
      <alignment vertical="bottom"/>
    </xf>
    <xf borderId="0" fillId="0" fontId="3" numFmtId="0" xfId="0" applyAlignment="1" applyFont="1">
      <alignment horizontal="left" readingOrder="0"/>
    </xf>
    <xf borderId="0" fillId="0" fontId="1" numFmtId="3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bottom"/>
    </xf>
    <xf borderId="2" fillId="0" fontId="1" numFmtId="0" xfId="0" applyAlignment="1" applyBorder="1" applyFont="1">
      <alignment horizontal="right" vertical="bottom"/>
    </xf>
    <xf borderId="3" fillId="0" fontId="1" numFmtId="0" xfId="0" applyAlignment="1" applyBorder="1" applyFont="1">
      <alignment horizontal="right" vertical="bottom"/>
    </xf>
    <xf borderId="1" fillId="0" fontId="2" numFmtId="0" xfId="0" applyBorder="1" applyFont="1"/>
    <xf borderId="3" fillId="0" fontId="1" numFmtId="0" xfId="0" applyAlignment="1" applyBorder="1" applyFont="1">
      <alignment vertical="bottom"/>
    </xf>
    <xf borderId="2" fillId="0" fontId="1" numFmtId="0" xfId="0" applyAlignment="1" applyBorder="1" applyFont="1">
      <alignment horizontal="center" vertical="bottom"/>
    </xf>
    <xf borderId="0" fillId="0" fontId="1" numFmtId="4" xfId="0" applyAlignment="1" applyFont="1" applyNumberFormat="1">
      <alignment horizontal="center" vertical="bottom"/>
    </xf>
    <xf borderId="0" fillId="0" fontId="1" numFmtId="165" xfId="0" applyAlignment="1" applyFont="1" applyNumberFormat="1">
      <alignment horizontal="right" vertical="bottom"/>
    </xf>
    <xf borderId="2" fillId="0" fontId="1" numFmtId="164" xfId="0" applyAlignment="1" applyBorder="1" applyFont="1" applyNumberFormat="1">
      <alignment horizontal="right" vertical="bottom"/>
    </xf>
    <xf borderId="2" fillId="0" fontId="1" numFmtId="164" xfId="0" applyAlignment="1" applyBorder="1" applyFont="1" applyNumberFormat="1">
      <alignment vertical="bottom"/>
    </xf>
    <xf borderId="1" fillId="0" fontId="1" numFmtId="0" xfId="0" applyAlignment="1" applyBorder="1" applyFont="1">
      <alignment horizontal="right" vertical="bottom"/>
    </xf>
    <xf borderId="3" fillId="0" fontId="1" numFmtId="164" xfId="0" applyAlignment="1" applyBorder="1" applyFont="1" applyNumberFormat="1">
      <alignment horizontal="right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  <col customWidth="1" min="5" max="5" width="19.13"/>
  </cols>
  <sheetData>
    <row r="1">
      <c r="A1" s="1"/>
      <c r="B1" s="2"/>
      <c r="C1" s="2"/>
      <c r="D1" s="1"/>
      <c r="E1" s="2"/>
      <c r="F1" s="2"/>
      <c r="G1" s="1"/>
      <c r="H1" s="2"/>
      <c r="I1" s="2"/>
      <c r="J1" s="1"/>
      <c r="K1" s="1"/>
      <c r="L1" s="1"/>
    </row>
    <row r="2">
      <c r="A2" s="3"/>
      <c r="B2" s="4" t="s">
        <v>0</v>
      </c>
      <c r="C2" s="5"/>
      <c r="D2" s="3"/>
      <c r="E2" s="4" t="s">
        <v>1</v>
      </c>
      <c r="F2" s="5"/>
      <c r="G2" s="3"/>
      <c r="H2" s="4" t="s">
        <v>2</v>
      </c>
      <c r="I2" s="5"/>
      <c r="J2" s="1"/>
      <c r="K2" s="1"/>
      <c r="L2" s="1"/>
    </row>
    <row r="3">
      <c r="A3" s="1"/>
      <c r="B3" s="1" t="s">
        <v>3</v>
      </c>
      <c r="C3" s="6" t="s">
        <v>4</v>
      </c>
      <c r="D3" s="1"/>
      <c r="E3" s="1" t="s">
        <v>5</v>
      </c>
      <c r="F3" s="7">
        <f t="array" ref="F3">IF(C29 &lt;= 100, 
    VLOOKUP(C3, {B32:B42, E32:E42}, 2, FALSE), 
    VLOOKUP(C3, {B32:B42, E32:E42}, 2, FALSE)
) * C29</f>
        <v>28.9884</v>
      </c>
      <c r="G3" s="1"/>
      <c r="H3" s="1" t="s">
        <v>6</v>
      </c>
      <c r="I3" s="8">
        <f>(I4)/C7</f>
        <v>879.2345333</v>
      </c>
      <c r="J3" s="1"/>
      <c r="K3" s="1"/>
      <c r="L3" s="1"/>
    </row>
    <row r="4">
      <c r="A4" s="1"/>
      <c r="B4" s="1" t="s">
        <v>7</v>
      </c>
      <c r="C4" s="9">
        <v>2.0</v>
      </c>
      <c r="D4" s="1"/>
      <c r="E4" s="10" t="s">
        <v>8</v>
      </c>
      <c r="F4" s="7">
        <f>F3*C10</f>
        <v>115.9536</v>
      </c>
      <c r="G4" s="1"/>
      <c r="H4" s="1" t="s">
        <v>9</v>
      </c>
      <c r="I4" s="8">
        <f>IF(C22, ((F4+F6+F7+F8+F9+F10+F11+F12+C16+C17+C18+C19)) * 1.1,(F4+F6+F7+F8+F9+F10+F11+F12+C16+C17+C18+C19))</f>
        <v>2637.7036</v>
      </c>
      <c r="J4" s="1"/>
      <c r="K4" s="1"/>
      <c r="L4" s="1"/>
    </row>
    <row r="5">
      <c r="A5" s="1"/>
      <c r="B5" s="10" t="s">
        <v>10</v>
      </c>
      <c r="C5" s="9">
        <v>3.5</v>
      </c>
      <c r="D5" s="1"/>
      <c r="E5" s="10" t="s">
        <v>11</v>
      </c>
      <c r="F5" s="11">
        <f>(MAX(C4,C5,C6)+0.025)*C10</f>
        <v>14.1</v>
      </c>
      <c r="G5" s="1"/>
      <c r="H5" s="1" t="s">
        <v>12</v>
      </c>
      <c r="I5" s="8">
        <f>VLOOKUP(C14, J39:K41, 2, FALSE) * I4</f>
        <v>2637.7036</v>
      </c>
      <c r="J5" s="1"/>
      <c r="K5" s="1"/>
      <c r="L5" s="1"/>
    </row>
    <row r="6">
      <c r="A6" s="1"/>
      <c r="B6" s="1" t="s">
        <v>13</v>
      </c>
      <c r="C6" s="9">
        <v>2.0</v>
      </c>
      <c r="D6" s="1"/>
      <c r="E6" s="1" t="s">
        <v>14</v>
      </c>
      <c r="F6" s="7">
        <f t="array" ref="F6">INDEX(H32:H40, MATCH(MIN(IF(G32:G40&gt;=H29, G32:G40, 999)), G32:G40, 0))</f>
        <v>10</v>
      </c>
      <c r="G6" s="1"/>
      <c r="H6" s="6" t="s">
        <v>15</v>
      </c>
      <c r="I6" s="12">
        <v>0.25</v>
      </c>
      <c r="J6" s="1"/>
      <c r="K6" s="1"/>
      <c r="L6" s="1"/>
    </row>
    <row r="7">
      <c r="A7" s="1"/>
      <c r="B7" s="1" t="s">
        <v>16</v>
      </c>
      <c r="C7" s="9">
        <v>3.0</v>
      </c>
      <c r="D7" s="1"/>
      <c r="E7" s="1" t="s">
        <v>17</v>
      </c>
      <c r="F7" s="7">
        <f t="array" ref="F7">INDEX(H32:H40, MATCH(MIN(IF(G32:G40&gt;=H29, G32:G40, 999)), G32:G40, 0))
*0.8</f>
        <v>8</v>
      </c>
      <c r="G7" s="1"/>
      <c r="H7" s="1" t="s">
        <v>18</v>
      </c>
      <c r="I7" s="8">
        <f>I8/C7</f>
        <v>1099.043167</v>
      </c>
      <c r="J7" s="1"/>
      <c r="K7" s="1"/>
      <c r="L7" s="1"/>
    </row>
    <row r="8">
      <c r="A8" s="1"/>
      <c r="B8" s="1" t="s">
        <v>19</v>
      </c>
      <c r="C8" s="9">
        <v>0.05</v>
      </c>
      <c r="D8" s="1"/>
      <c r="E8" s="1" t="s">
        <v>20</v>
      </c>
      <c r="F8" s="7">
        <f>C11*150</f>
        <v>2100</v>
      </c>
      <c r="G8" s="1"/>
      <c r="H8" s="1" t="s">
        <v>21</v>
      </c>
      <c r="I8" s="8">
        <f>(1+I6)*I4</f>
        <v>3297.1295</v>
      </c>
      <c r="J8" s="1"/>
      <c r="K8" s="1"/>
      <c r="L8" s="1"/>
    </row>
    <row r="9">
      <c r="A9" s="1"/>
      <c r="B9" s="10" t="s">
        <v>22</v>
      </c>
      <c r="C9" s="9">
        <f>(MAX(C4,C5,C6)+0.025)*C10</f>
        <v>14.1</v>
      </c>
      <c r="D9" s="1"/>
      <c r="E9" s="1" t="s">
        <v>23</v>
      </c>
      <c r="F9" s="7">
        <f>(C15*0.25)*C7</f>
        <v>3.75</v>
      </c>
      <c r="G9" s="1"/>
      <c r="H9" s="1"/>
      <c r="I9" s="13"/>
      <c r="J9" s="1"/>
      <c r="K9" s="1"/>
      <c r="L9" s="1"/>
    </row>
    <row r="10">
      <c r="A10" s="1"/>
      <c r="B10" s="1" t="s">
        <v>24</v>
      </c>
      <c r="C10" s="9">
        <f>ROUNDUP(C7*(1+C8),0)</f>
        <v>4</v>
      </c>
      <c r="D10" s="1"/>
      <c r="E10" s="1" t="s">
        <v>25</v>
      </c>
      <c r="F10" s="7">
        <v>400.0</v>
      </c>
      <c r="G10" s="1"/>
      <c r="H10" s="14" t="s">
        <v>26</v>
      </c>
      <c r="I10" s="8">
        <f>IF(C23, ((1+I6)*I4) * I11, (1+I6)*I4)</f>
        <v>3297.1295</v>
      </c>
      <c r="J10" s="1"/>
      <c r="K10" s="1"/>
      <c r="L10" s="1"/>
    </row>
    <row r="11">
      <c r="A11" s="1"/>
      <c r="B11" s="1" t="s">
        <v>27</v>
      </c>
      <c r="C11" s="9">
        <v>14.0</v>
      </c>
      <c r="D11" s="1"/>
      <c r="E11" s="1" t="s">
        <v>28</v>
      </c>
      <c r="F11" s="7" t="str">
        <f>IF(C20, C7 * 2.5, "$0")</f>
        <v>$0</v>
      </c>
      <c r="G11" s="1"/>
      <c r="H11" s="1" t="s">
        <v>29</v>
      </c>
      <c r="I11" s="9">
        <v>1.5</v>
      </c>
      <c r="J11" s="1"/>
      <c r="K11" s="1"/>
      <c r="L11" s="1"/>
      <c r="Q11" s="15"/>
    </row>
    <row r="12">
      <c r="A12" s="1"/>
      <c r="B12" s="1" t="s">
        <v>30</v>
      </c>
      <c r="C12" s="9">
        <v>0.0</v>
      </c>
      <c r="D12" s="1"/>
      <c r="E12" s="1" t="s">
        <v>31</v>
      </c>
      <c r="F12" s="7" t="str">
        <f>IF(C21, C7 * 2, "$0")</f>
        <v>$0</v>
      </c>
      <c r="G12" s="1"/>
      <c r="H12" s="1"/>
      <c r="I12" s="1"/>
      <c r="J12" s="1"/>
      <c r="K12" s="1"/>
      <c r="L12" s="1"/>
    </row>
    <row r="13">
      <c r="A13" s="1"/>
      <c r="B13" s="1" t="s">
        <v>32</v>
      </c>
      <c r="C13" s="1" t="s">
        <v>33</v>
      </c>
      <c r="D13" s="1"/>
      <c r="E13" s="1" t="s">
        <v>6</v>
      </c>
      <c r="F13" s="8" t="str">
        <f>(F14)/#REF!</f>
        <v>#REF!</v>
      </c>
      <c r="G13" s="1"/>
      <c r="H13" s="1"/>
      <c r="I13" s="1"/>
      <c r="J13" s="1"/>
      <c r="K13" s="1"/>
      <c r="L13" s="1"/>
    </row>
    <row r="14">
      <c r="A14" s="1"/>
      <c r="B14" s="1" t="s">
        <v>34</v>
      </c>
      <c r="C14" s="13" t="s">
        <v>35</v>
      </c>
      <c r="D14" s="1"/>
      <c r="E14" s="1" t="s">
        <v>9</v>
      </c>
      <c r="F14" s="8" t="str">
        <f>IF(#REF!, ((C14+C16+C17+C18+C19+C20+C21+C22+#REF!+#REF!+#REF!+#REF!)) * 1.1,(C14+C16+C17+C18+C19+C20+C21+C22+#REF!+#REF!+#REF!+#REF!))</f>
        <v>#REF!</v>
      </c>
      <c r="G14" s="1"/>
      <c r="H14" s="1"/>
      <c r="I14" s="1"/>
      <c r="J14" s="1"/>
      <c r="K14" s="1"/>
      <c r="L14" s="1"/>
    </row>
    <row r="15">
      <c r="A15" s="1"/>
      <c r="B15" s="1" t="s">
        <v>36</v>
      </c>
      <c r="C15" s="16">
        <v>5.0</v>
      </c>
      <c r="D15" s="1"/>
      <c r="E15" s="1"/>
      <c r="F15" s="1"/>
      <c r="G15" s="1"/>
      <c r="H15" s="1"/>
      <c r="I15" s="1"/>
      <c r="J15" s="1"/>
      <c r="K15" s="1"/>
      <c r="L15" s="1"/>
    </row>
    <row r="16">
      <c r="A16" s="1"/>
      <c r="B16" s="1" t="s">
        <v>37</v>
      </c>
      <c r="C16" s="8">
        <v>0.0</v>
      </c>
      <c r="D16" s="1"/>
      <c r="E16" s="1"/>
      <c r="F16" s="1"/>
      <c r="G16" s="1"/>
      <c r="H16" s="1"/>
      <c r="I16" s="1"/>
      <c r="J16" s="1"/>
      <c r="K16" s="1"/>
      <c r="L16" s="1"/>
    </row>
    <row r="17">
      <c r="A17" s="1"/>
      <c r="B17" s="1" t="s">
        <v>38</v>
      </c>
      <c r="C17" s="8">
        <v>0.0</v>
      </c>
      <c r="D17" s="1"/>
      <c r="E17" s="1"/>
      <c r="F17" s="1"/>
      <c r="G17" s="1"/>
      <c r="H17" s="10"/>
      <c r="I17" s="1"/>
      <c r="J17" s="1"/>
      <c r="K17" s="1"/>
      <c r="L17" s="1"/>
    </row>
    <row r="18">
      <c r="A18" s="1"/>
      <c r="B18" s="1" t="s">
        <v>39</v>
      </c>
      <c r="C18" s="17">
        <v>0.0</v>
      </c>
      <c r="D18" s="1"/>
      <c r="E18" s="1"/>
      <c r="F18" s="1"/>
      <c r="G18" s="1"/>
      <c r="H18" s="10"/>
      <c r="I18" s="1"/>
      <c r="J18" s="1"/>
      <c r="K18" s="1"/>
      <c r="L18" s="1"/>
    </row>
    <row r="19">
      <c r="A19" s="1"/>
      <c r="B19" s="1" t="s">
        <v>40</v>
      </c>
      <c r="C19" s="8">
        <v>0.0</v>
      </c>
      <c r="D19" s="1"/>
      <c r="E19" s="1"/>
      <c r="F19" s="13"/>
      <c r="G19" s="1"/>
      <c r="H19" s="1"/>
      <c r="I19" s="1"/>
      <c r="J19" s="1"/>
      <c r="K19" s="1"/>
      <c r="L19" s="1"/>
    </row>
    <row r="20">
      <c r="A20" s="1"/>
      <c r="B20" s="1" t="s">
        <v>41</v>
      </c>
      <c r="C20" s="18" t="b">
        <v>0</v>
      </c>
      <c r="D20" s="1"/>
      <c r="E20" s="1"/>
      <c r="F20" s="13"/>
      <c r="G20" s="1"/>
      <c r="H20" s="1"/>
      <c r="I20" s="1"/>
      <c r="J20" s="1"/>
      <c r="K20" s="1"/>
      <c r="L20" s="1"/>
    </row>
    <row r="21">
      <c r="A21" s="1"/>
      <c r="B21" s="1" t="s">
        <v>42</v>
      </c>
      <c r="C21" s="19" t="b">
        <v>0</v>
      </c>
      <c r="D21" s="1"/>
      <c r="E21" s="1"/>
      <c r="F21" s="1"/>
      <c r="G21" s="1"/>
      <c r="H21" s="1"/>
      <c r="I21" s="1"/>
      <c r="J21" s="1"/>
      <c r="K21" s="1"/>
      <c r="L21" s="1"/>
    </row>
    <row r="22">
      <c r="A22" s="1"/>
      <c r="B22" s="1" t="s">
        <v>43</v>
      </c>
      <c r="C22" s="18" t="b">
        <v>0</v>
      </c>
      <c r="D22" s="1"/>
      <c r="E22" s="1"/>
      <c r="F22" s="1"/>
      <c r="G22" s="1"/>
      <c r="H22" s="1"/>
      <c r="I22" s="1"/>
      <c r="J22" s="1"/>
      <c r="K22" s="1"/>
      <c r="L22" s="1"/>
    </row>
    <row r="23">
      <c r="A23" s="1"/>
      <c r="B23" s="10" t="s">
        <v>44</v>
      </c>
      <c r="C23" s="18" t="b">
        <v>0</v>
      </c>
      <c r="D23" s="1"/>
      <c r="E23" s="1"/>
      <c r="F23" s="1"/>
      <c r="G23" s="1"/>
      <c r="H23" s="1"/>
      <c r="I23" s="1"/>
      <c r="J23" s="1"/>
      <c r="K23" s="1"/>
      <c r="L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>
      <c r="A27" s="1"/>
      <c r="B27" s="2"/>
      <c r="C27" s="2"/>
      <c r="D27" s="1"/>
      <c r="E27" s="1"/>
      <c r="F27" s="1"/>
      <c r="G27" s="1"/>
      <c r="H27" s="1"/>
      <c r="I27" s="1"/>
      <c r="J27" s="1"/>
      <c r="K27" s="1"/>
      <c r="L27" s="1"/>
    </row>
    <row r="28">
      <c r="A28" s="3"/>
      <c r="B28" s="1" t="s">
        <v>45</v>
      </c>
      <c r="C28" s="20">
        <f>C4*C5*C6</f>
        <v>14</v>
      </c>
      <c r="D28" s="1"/>
      <c r="E28" s="1"/>
      <c r="F28" s="1"/>
      <c r="G28" s="1"/>
      <c r="H28" s="1"/>
      <c r="I28" s="1"/>
      <c r="J28" s="1"/>
      <c r="K28" s="1"/>
      <c r="L28" s="1"/>
    </row>
    <row r="29">
      <c r="A29" s="3"/>
      <c r="B29" s="2" t="s">
        <v>46</v>
      </c>
      <c r="C29" s="21">
        <f>VLOOKUP(C3, B33:D42, 3, FALSE) * C28</f>
        <v>1.428</v>
      </c>
      <c r="D29" s="1"/>
      <c r="E29" s="1"/>
      <c r="F29" s="1"/>
      <c r="G29" s="1" t="s">
        <v>47</v>
      </c>
      <c r="H29" s="9">
        <f>C29*C7</f>
        <v>4.284</v>
      </c>
      <c r="I29" s="1"/>
      <c r="J29" s="2"/>
      <c r="K29" s="2"/>
      <c r="L29" s="1"/>
    </row>
    <row r="30">
      <c r="A30" s="1"/>
      <c r="B30" s="2"/>
      <c r="C30" s="2"/>
      <c r="D30" s="2"/>
      <c r="E30" s="2"/>
      <c r="F30" s="1"/>
      <c r="G30" s="2"/>
      <c r="H30" s="2"/>
      <c r="I30" s="3"/>
      <c r="J30" s="4" t="s">
        <v>48</v>
      </c>
      <c r="K30" s="5"/>
      <c r="L30" s="1"/>
    </row>
    <row r="31">
      <c r="A31" s="3"/>
      <c r="B31" s="4" t="s">
        <v>49</v>
      </c>
      <c r="C31" s="22"/>
      <c r="D31" s="22"/>
      <c r="E31" s="5"/>
      <c r="F31" s="3"/>
      <c r="G31" s="4" t="s">
        <v>50</v>
      </c>
      <c r="H31" s="5"/>
      <c r="I31" s="3"/>
      <c r="J31" s="23" t="s">
        <v>51</v>
      </c>
      <c r="K31" s="23" t="s">
        <v>52</v>
      </c>
      <c r="L31" s="1"/>
    </row>
    <row r="32">
      <c r="A32" s="3"/>
      <c r="B32" s="19" t="s">
        <v>53</v>
      </c>
      <c r="C32" s="19" t="s">
        <v>54</v>
      </c>
      <c r="D32" s="19" t="s">
        <v>55</v>
      </c>
      <c r="E32" s="24" t="s">
        <v>56</v>
      </c>
      <c r="F32" s="3"/>
      <c r="G32" s="1" t="s">
        <v>57</v>
      </c>
      <c r="H32" s="3" t="s">
        <v>58</v>
      </c>
      <c r="I32" s="3"/>
      <c r="J32" s="3" t="s">
        <v>59</v>
      </c>
      <c r="K32" s="20">
        <v>1.0</v>
      </c>
      <c r="L32" s="1"/>
    </row>
    <row r="33">
      <c r="A33" s="3"/>
      <c r="B33" s="1" t="s">
        <v>60</v>
      </c>
      <c r="C33" s="25" t="s">
        <v>61</v>
      </c>
      <c r="D33" s="26">
        <v>0.0975</v>
      </c>
      <c r="E33" s="27">
        <v>8.9</v>
      </c>
      <c r="F33" s="3"/>
      <c r="G33" s="9">
        <v>5.0</v>
      </c>
      <c r="H33" s="27">
        <v>10.0</v>
      </c>
      <c r="I33" s="3"/>
      <c r="J33" s="3" t="s">
        <v>62</v>
      </c>
      <c r="K33" s="20">
        <v>0.5</v>
      </c>
      <c r="L33" s="1"/>
    </row>
    <row r="34">
      <c r="A34" s="3"/>
      <c r="B34" s="1" t="s">
        <v>60</v>
      </c>
      <c r="C34" s="25" t="s">
        <v>63</v>
      </c>
      <c r="D34" s="26">
        <v>0.0975</v>
      </c>
      <c r="E34" s="27">
        <v>10.2</v>
      </c>
      <c r="F34" s="3"/>
      <c r="G34" s="9">
        <v>15.0</v>
      </c>
      <c r="H34" s="27">
        <v>25.0</v>
      </c>
      <c r="I34" s="3"/>
      <c r="J34" s="3" t="s">
        <v>64</v>
      </c>
      <c r="K34" s="20">
        <v>0.65</v>
      </c>
      <c r="L34" s="1"/>
    </row>
    <row r="35">
      <c r="A35" s="3"/>
      <c r="B35" s="1" t="s">
        <v>4</v>
      </c>
      <c r="C35" s="25" t="s">
        <v>65</v>
      </c>
      <c r="D35" s="26">
        <v>0.102</v>
      </c>
      <c r="E35" s="27">
        <v>20.3</v>
      </c>
      <c r="F35" s="3"/>
      <c r="G35" s="9">
        <v>25.0</v>
      </c>
      <c r="H35" s="27">
        <v>50.0</v>
      </c>
      <c r="I35" s="3"/>
      <c r="J35" s="3" t="s">
        <v>66</v>
      </c>
      <c r="K35" s="20">
        <v>2.5</v>
      </c>
      <c r="L35" s="1"/>
    </row>
    <row r="36">
      <c r="A36" s="3"/>
      <c r="B36" s="1" t="s">
        <v>4</v>
      </c>
      <c r="C36" s="25" t="s">
        <v>63</v>
      </c>
      <c r="D36" s="26">
        <v>0.102</v>
      </c>
      <c r="E36" s="27">
        <v>20.3</v>
      </c>
      <c r="F36" s="3"/>
      <c r="G36" s="9">
        <v>50.0</v>
      </c>
      <c r="H36" s="27">
        <v>100.0</v>
      </c>
      <c r="I36" s="3"/>
      <c r="J36" s="23" t="s">
        <v>33</v>
      </c>
      <c r="K36" s="21">
        <v>0.0</v>
      </c>
      <c r="L36" s="1"/>
    </row>
    <row r="37">
      <c r="A37" s="3"/>
      <c r="B37" s="1" t="s">
        <v>67</v>
      </c>
      <c r="C37" s="25" t="s">
        <v>65</v>
      </c>
      <c r="D37" s="26">
        <v>0.289</v>
      </c>
      <c r="E37" s="27">
        <v>11.64</v>
      </c>
      <c r="F37" s="3"/>
      <c r="G37" s="9">
        <v>100.0</v>
      </c>
      <c r="H37" s="27">
        <v>250.0</v>
      </c>
      <c r="I37" s="1"/>
      <c r="J37" s="2"/>
      <c r="K37" s="2"/>
      <c r="L37" s="1"/>
    </row>
    <row r="38">
      <c r="A38" s="3"/>
      <c r="B38" s="1" t="s">
        <v>67</v>
      </c>
      <c r="C38" s="25" t="s">
        <v>63</v>
      </c>
      <c r="D38" s="26">
        <v>0.289</v>
      </c>
      <c r="E38" s="27">
        <v>14.55</v>
      </c>
      <c r="F38" s="3"/>
      <c r="G38" s="9">
        <v>250.0</v>
      </c>
      <c r="H38" s="27">
        <v>750.0</v>
      </c>
      <c r="I38" s="3"/>
      <c r="J38" s="4" t="s">
        <v>68</v>
      </c>
      <c r="K38" s="5"/>
      <c r="L38" s="1"/>
    </row>
    <row r="39">
      <c r="A39" s="3"/>
      <c r="B39" s="1" t="s">
        <v>69</v>
      </c>
      <c r="C39" s="25" t="s">
        <v>65</v>
      </c>
      <c r="D39" s="26">
        <v>0.163</v>
      </c>
      <c r="E39" s="28"/>
      <c r="F39" s="3"/>
      <c r="G39" s="9">
        <v>500.0</v>
      </c>
      <c r="H39" s="27">
        <v>1200.0</v>
      </c>
      <c r="I39" s="3"/>
      <c r="J39" s="1" t="s">
        <v>35</v>
      </c>
      <c r="K39" s="20">
        <v>1.0</v>
      </c>
      <c r="L39" s="1"/>
    </row>
    <row r="40">
      <c r="A40" s="3"/>
      <c r="B40" s="1" t="s">
        <v>69</v>
      </c>
      <c r="C40" s="25" t="s">
        <v>70</v>
      </c>
      <c r="D40" s="26">
        <v>0.163</v>
      </c>
      <c r="E40" s="28"/>
      <c r="F40" s="3"/>
      <c r="G40" s="29">
        <v>750.0</v>
      </c>
      <c r="H40" s="30">
        <v>2000.0</v>
      </c>
      <c r="I40" s="3"/>
      <c r="J40" s="1" t="s">
        <v>71</v>
      </c>
      <c r="K40" s="20">
        <v>1.15</v>
      </c>
      <c r="L40" s="1"/>
    </row>
    <row r="41">
      <c r="A41" s="3"/>
      <c r="B41" s="1" t="s">
        <v>72</v>
      </c>
      <c r="C41" s="19" t="s">
        <v>65</v>
      </c>
      <c r="D41" s="9">
        <v>0.295</v>
      </c>
      <c r="E41" s="27">
        <v>19.25</v>
      </c>
      <c r="F41" s="1"/>
      <c r="G41" s="1"/>
      <c r="H41" s="1"/>
      <c r="I41" s="3"/>
      <c r="J41" s="2" t="s">
        <v>73</v>
      </c>
      <c r="K41" s="21">
        <v>1.5</v>
      </c>
      <c r="L41" s="1"/>
    </row>
    <row r="42">
      <c r="A42" s="3"/>
      <c r="B42" s="2" t="s">
        <v>72</v>
      </c>
      <c r="C42" s="4" t="s">
        <v>70</v>
      </c>
      <c r="D42" s="29">
        <v>0.295</v>
      </c>
      <c r="E42" s="30">
        <v>22.14</v>
      </c>
      <c r="F42" s="1"/>
      <c r="G42" s="1"/>
      <c r="H42" s="1"/>
      <c r="I42" s="1"/>
      <c r="J42" s="1"/>
      <c r="K42" s="1"/>
      <c r="L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</sheetData>
  <mergeCells count="7">
    <mergeCell ref="B2:C2"/>
    <mergeCell ref="E2:F2"/>
    <mergeCell ref="H2:I2"/>
    <mergeCell ref="J30:K30"/>
    <mergeCell ref="B31:E31"/>
    <mergeCell ref="G31:H31"/>
    <mergeCell ref="J38:K38"/>
  </mergeCells>
  <dataValidations>
    <dataValidation type="list" allowBlank="1" showErrorMessage="1" sqref="C14">
      <formula1>"Easy,Medium,Hard"</formula1>
    </dataValidation>
    <dataValidation type="list" allowBlank="1" showErrorMessage="1" sqref="C13">
      <formula1>"N/A,Anodizing,Alodine,Chem-Film per Mil-C-5541,Powder Coat"</formula1>
    </dataValidation>
    <dataValidation type="list" allowBlank="1" showErrorMessage="1" sqref="C3">
      <formula1>"6000 Series Aluminum,7000 Series Aluminum,Stainless Steel,Titanium,Bronze"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/>
    </row>
  </sheetData>
  <drawing r:id="rId1"/>
</worksheet>
</file>